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salsa.univ-amu.fr\dfs\myhome_etud\DOSSIERS_WINDOWS\Documents\fiche tech imprimante\"/>
    </mc:Choice>
  </mc:AlternateContent>
  <xr:revisionPtr revIDLastSave="0" documentId="13_ncr:1_{C54F8FB2-9AB9-4004-8EEC-5E87A3B4F5B8}" xr6:coauthVersionLast="47" xr6:coauthVersionMax="47" xr10:uidLastSave="{00000000-0000-0000-0000-000000000000}"/>
  <bookViews>
    <workbookView xWindow="-120" yWindow="-120" windowWidth="29040" windowHeight="15720" xr2:uid="{85B6AFF0-B7E0-4BE6-8534-05A1DD666BC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</calcChain>
</file>

<file path=xl/sharedStrings.xml><?xml version="1.0" encoding="utf-8"?>
<sst xmlns="http://schemas.openxmlformats.org/spreadsheetml/2006/main" count="12" uniqueCount="10">
  <si>
    <t xml:space="preserve">Données de depart </t>
  </si>
  <si>
    <t xml:space="preserve">poids d'une boites </t>
  </si>
  <si>
    <t>kg</t>
  </si>
  <si>
    <t xml:space="preserve">prix d'1kg de plastique </t>
  </si>
  <si>
    <t>euro</t>
  </si>
  <si>
    <t>prix imprimante</t>
  </si>
  <si>
    <t>cout annuel d'entretien</t>
  </si>
  <si>
    <t>nombre de boites produits</t>
  </si>
  <si>
    <t xml:space="preserve">prix de reveins d'une seule boite </t>
  </si>
  <si>
    <t xml:space="preserve">le prix d'une boite prend en compte le prix de l'imprimante, le prix du plastique et le coup d'entretien de l'imprimante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</si>
</sst>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2" fontId="0" fillId="0" borderId="7" xfId="0" applyNumberFormat="1" applyBorder="1"/>
    <xf numFmtId="2" fontId="0" fillId="0" borderId="8" xfId="0" applyNumberFormat="1" applyBorder="1"/>
    <xf numFmtId="0" fontId="0" fillId="2" borderId="18" xfId="0" applyFill="1" applyBorder="1"/>
    <xf numFmtId="0" fontId="0" fillId="2" borderId="13" xfId="0" applyFill="1" applyBorder="1"/>
    <xf numFmtId="0" fontId="0" fillId="2" borderId="12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2" fontId="0" fillId="0" borderId="21" xfId="0" applyNumberFormat="1" applyBorder="1"/>
    <xf numFmtId="0" fontId="0" fillId="2" borderId="10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u="sng"/>
              <a:t>prix d'une boite en fonction du nombre d'exemplaire imprimé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Feuil1!$F$1</c:f>
              <c:strCache>
                <c:ptCount val="1"/>
                <c:pt idx="0">
                  <c:v>prix de reveins d'une seule boite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Feuil1!$E$2:$E$31</c:f>
              <c:numCache>
                <c:formatCode>General</c:formatCode>
                <c:ptCount val="3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120</c:v>
                </c:pt>
                <c:pt idx="11">
                  <c:v>140</c:v>
                </c:pt>
                <c:pt idx="12">
                  <c:v>160</c:v>
                </c:pt>
                <c:pt idx="13">
                  <c:v>180</c:v>
                </c:pt>
                <c:pt idx="14">
                  <c:v>200</c:v>
                </c:pt>
                <c:pt idx="15">
                  <c:v>220</c:v>
                </c:pt>
                <c:pt idx="16">
                  <c:v>240</c:v>
                </c:pt>
                <c:pt idx="17">
                  <c:v>260</c:v>
                </c:pt>
                <c:pt idx="18">
                  <c:v>280</c:v>
                </c:pt>
                <c:pt idx="19">
                  <c:v>300</c:v>
                </c:pt>
                <c:pt idx="20">
                  <c:v>320</c:v>
                </c:pt>
                <c:pt idx="21">
                  <c:v>340</c:v>
                </c:pt>
                <c:pt idx="22">
                  <c:v>360</c:v>
                </c:pt>
                <c:pt idx="23">
                  <c:v>380</c:v>
                </c:pt>
                <c:pt idx="24">
                  <c:v>400</c:v>
                </c:pt>
                <c:pt idx="25">
                  <c:v>420</c:v>
                </c:pt>
                <c:pt idx="26">
                  <c:v>440</c:v>
                </c:pt>
                <c:pt idx="27">
                  <c:v>460</c:v>
                </c:pt>
                <c:pt idx="28">
                  <c:v>480</c:v>
                </c:pt>
                <c:pt idx="29">
                  <c:v>500</c:v>
                </c:pt>
              </c:numCache>
            </c:numRef>
          </c:xVal>
          <c:yVal>
            <c:numRef>
              <c:f>Feuil1!$F$2:$F$31</c:f>
              <c:numCache>
                <c:formatCode>0.00</c:formatCode>
                <c:ptCount val="30"/>
                <c:pt idx="0">
                  <c:v>139.446</c:v>
                </c:pt>
                <c:pt idx="1">
                  <c:v>70.896000000000001</c:v>
                </c:pt>
                <c:pt idx="2">
                  <c:v>48.045999999999999</c:v>
                </c:pt>
                <c:pt idx="3">
                  <c:v>36.620999999999995</c:v>
                </c:pt>
                <c:pt idx="4">
                  <c:v>29.766000000000002</c:v>
                </c:pt>
                <c:pt idx="5">
                  <c:v>25.196000000000002</c:v>
                </c:pt>
                <c:pt idx="6">
                  <c:v>21.931714285714285</c:v>
                </c:pt>
                <c:pt idx="7">
                  <c:v>19.483499999999999</c:v>
                </c:pt>
                <c:pt idx="8">
                  <c:v>17.579333333333331</c:v>
                </c:pt>
                <c:pt idx="9">
                  <c:v>16.056000000000001</c:v>
                </c:pt>
                <c:pt idx="10">
                  <c:v>13.771000000000001</c:v>
                </c:pt>
                <c:pt idx="11">
                  <c:v>12.138857142857143</c:v>
                </c:pt>
                <c:pt idx="12">
                  <c:v>10.91475</c:v>
                </c:pt>
                <c:pt idx="13">
                  <c:v>9.9626666666666654</c:v>
                </c:pt>
                <c:pt idx="14">
                  <c:v>9.2010000000000005</c:v>
                </c:pt>
                <c:pt idx="15">
                  <c:v>8.5778181818181807</c:v>
                </c:pt>
                <c:pt idx="16">
                  <c:v>8.0585000000000004</c:v>
                </c:pt>
                <c:pt idx="17">
                  <c:v>7.6190769230769231</c:v>
                </c:pt>
                <c:pt idx="18">
                  <c:v>7.2424285714285705</c:v>
                </c:pt>
                <c:pt idx="19">
                  <c:v>6.9160000000000004</c:v>
                </c:pt>
                <c:pt idx="20">
                  <c:v>6.630374999999999</c:v>
                </c:pt>
                <c:pt idx="21">
                  <c:v>6.3783529411764697</c:v>
                </c:pt>
                <c:pt idx="22">
                  <c:v>6.1543333333333328</c:v>
                </c:pt>
                <c:pt idx="23">
                  <c:v>5.9538947368421047</c:v>
                </c:pt>
                <c:pt idx="24">
                  <c:v>5.7735000000000003</c:v>
                </c:pt>
                <c:pt idx="25">
                  <c:v>5.6102857142857143</c:v>
                </c:pt>
                <c:pt idx="26">
                  <c:v>5.4619090909090904</c:v>
                </c:pt>
                <c:pt idx="27">
                  <c:v>5.3264347826086951</c:v>
                </c:pt>
                <c:pt idx="28">
                  <c:v>5.2022499999999994</c:v>
                </c:pt>
                <c:pt idx="29">
                  <c:v>5.0879999999999992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52-4712-BFC3-F484613F7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0069968"/>
        <c:axId val="960070928"/>
      </c:scatterChart>
      <c:valAx>
        <c:axId val="960069968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nombre de boites produites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60070928"/>
        <c:crosses val="autoZero"/>
        <c:crossBetween val="midCat"/>
      </c:valAx>
      <c:valAx>
        <c:axId val="960070928"/>
        <c:scaling>
          <c:orientation val="minMax"/>
          <c:max val="1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prix de reviens pour une boite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60069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0</xdr:row>
      <xdr:rowOff>142875</xdr:rowOff>
    </xdr:from>
    <xdr:to>
      <xdr:col>15</xdr:col>
      <xdr:colOff>476250</xdr:colOff>
      <xdr:row>35</xdr:row>
      <xdr:rowOff>104775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96937D4-3AF9-357B-AA27-29FA6120C0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117C8-2976-4691-AD7D-AEB6E859275F}">
  <dimension ref="A1:P31"/>
  <sheetViews>
    <sheetView tabSelected="1" workbookViewId="0">
      <selection activeCell="N7" sqref="N7"/>
    </sheetView>
  </sheetViews>
  <sheetFormatPr baseColWidth="10" defaultRowHeight="15" x14ac:dyDescent="0.25"/>
  <cols>
    <col min="1" max="1" width="21.28515625" bestFit="1" customWidth="1"/>
    <col min="2" max="2" width="11.5703125" customWidth="1"/>
    <col min="5" max="5" width="24.42578125" bestFit="1" customWidth="1"/>
    <col min="6" max="6" width="29.7109375" bestFit="1" customWidth="1"/>
    <col min="7" max="7" width="14.85546875" customWidth="1"/>
  </cols>
  <sheetData>
    <row r="1" spans="1:16" ht="15.75" thickBot="1" x14ac:dyDescent="0.3">
      <c r="A1" s="24" t="s">
        <v>0</v>
      </c>
      <c r="B1" s="25"/>
      <c r="C1" s="26"/>
      <c r="E1" s="12" t="s">
        <v>7</v>
      </c>
      <c r="F1" s="13" t="s">
        <v>8</v>
      </c>
    </row>
    <row r="2" spans="1:16" ht="15" customHeight="1" x14ac:dyDescent="0.25">
      <c r="A2" s="7" t="s">
        <v>1</v>
      </c>
      <c r="B2" s="4">
        <v>0.10199999999999999</v>
      </c>
      <c r="C2" s="1" t="s">
        <v>2</v>
      </c>
      <c r="E2" s="7">
        <v>10</v>
      </c>
      <c r="F2" s="10">
        <f>$B$2*$B$3+(($B$4+$B$5)/E2)</f>
        <v>139.446</v>
      </c>
      <c r="H2" s="27"/>
      <c r="I2" s="27"/>
      <c r="J2" s="27"/>
      <c r="K2" s="27"/>
      <c r="L2" s="29"/>
      <c r="M2" s="29"/>
      <c r="N2" s="29"/>
      <c r="O2" s="29"/>
      <c r="P2" s="29"/>
    </row>
    <row r="3" spans="1:16" x14ac:dyDescent="0.25">
      <c r="A3" s="8" t="s">
        <v>3</v>
      </c>
      <c r="B3" s="5">
        <v>23</v>
      </c>
      <c r="C3" s="2" t="s">
        <v>4</v>
      </c>
      <c r="E3" s="8">
        <v>20</v>
      </c>
      <c r="F3" s="11">
        <f>$B$2*$B$3+(($B$4+$B$5)/E3)</f>
        <v>70.896000000000001</v>
      </c>
      <c r="H3" s="27"/>
      <c r="I3" s="27"/>
      <c r="J3" s="27"/>
      <c r="K3" s="27"/>
      <c r="L3" s="29"/>
      <c r="M3" s="29"/>
      <c r="N3" s="29"/>
      <c r="O3" s="29"/>
      <c r="P3" s="29"/>
    </row>
    <row r="4" spans="1:16" x14ac:dyDescent="0.25">
      <c r="A4" s="8" t="s">
        <v>5</v>
      </c>
      <c r="B4" s="5">
        <v>1311</v>
      </c>
      <c r="C4" s="2" t="s">
        <v>4</v>
      </c>
      <c r="E4" s="8">
        <v>30</v>
      </c>
      <c r="F4" s="11">
        <f>$B$2*$B$3+(($B$4+$B$5)/E4)</f>
        <v>48.045999999999999</v>
      </c>
      <c r="H4" s="27"/>
      <c r="I4" s="28"/>
      <c r="J4" s="27"/>
      <c r="K4" s="27"/>
      <c r="L4" s="29"/>
      <c r="M4" s="29"/>
      <c r="N4" s="29"/>
      <c r="O4" s="29"/>
      <c r="P4" s="29"/>
    </row>
    <row r="5" spans="1:16" ht="15.75" thickBot="1" x14ac:dyDescent="0.3">
      <c r="A5" s="9" t="s">
        <v>6</v>
      </c>
      <c r="B5" s="6">
        <v>60</v>
      </c>
      <c r="C5" s="3" t="s">
        <v>4</v>
      </c>
      <c r="E5" s="8">
        <v>40</v>
      </c>
      <c r="F5" s="11">
        <f>$B$2*$B$3+(($B$4+$B$5)/E5)</f>
        <v>36.620999999999995</v>
      </c>
      <c r="H5" s="27"/>
      <c r="I5" s="27"/>
      <c r="J5" s="27"/>
      <c r="K5" s="27"/>
      <c r="L5" s="29"/>
      <c r="M5" s="29"/>
      <c r="N5" s="29"/>
      <c r="O5" s="29"/>
      <c r="P5" s="29"/>
    </row>
    <row r="6" spans="1:16" ht="15.75" thickBot="1" x14ac:dyDescent="0.3">
      <c r="E6" s="8">
        <v>50</v>
      </c>
      <c r="F6" s="11">
        <f>$B$2*$B$3+(($B$4+$B$5)/E6)</f>
        <v>29.766000000000002</v>
      </c>
    </row>
    <row r="7" spans="1:16" x14ac:dyDescent="0.25">
      <c r="A7" s="14" t="s">
        <v>9</v>
      </c>
      <c r="B7" s="15"/>
      <c r="C7" s="16"/>
      <c r="E7" s="8">
        <v>60</v>
      </c>
      <c r="F7" s="11">
        <f>$B$2*$B$3+(($B$4+$B$5)/E7)</f>
        <v>25.196000000000002</v>
      </c>
    </row>
    <row r="8" spans="1:16" x14ac:dyDescent="0.25">
      <c r="A8" s="17"/>
      <c r="B8" s="18"/>
      <c r="C8" s="19"/>
      <c r="E8" s="8">
        <v>70</v>
      </c>
      <c r="F8" s="11">
        <f>$B$2*$B$3+(($B$4+$B$5)/E8)</f>
        <v>21.931714285714285</v>
      </c>
    </row>
    <row r="9" spans="1:16" x14ac:dyDescent="0.25">
      <c r="A9" s="17"/>
      <c r="B9" s="18"/>
      <c r="C9" s="19"/>
      <c r="E9" s="8">
        <v>80</v>
      </c>
      <c r="F9" s="11">
        <f>$B$2*$B$3+(($B$4+$B$5)/E9)</f>
        <v>19.483499999999999</v>
      </c>
    </row>
    <row r="10" spans="1:16" x14ac:dyDescent="0.25">
      <c r="A10" s="17"/>
      <c r="B10" s="18"/>
      <c r="C10" s="19"/>
      <c r="E10" s="8">
        <v>90</v>
      </c>
      <c r="F10" s="11">
        <f>$B$2*$B$3+(($B$4+$B$5)/E10)</f>
        <v>17.579333333333331</v>
      </c>
    </row>
    <row r="11" spans="1:16" ht="15.75" thickBot="1" x14ac:dyDescent="0.3">
      <c r="A11" s="20"/>
      <c r="B11" s="21"/>
      <c r="C11" s="22"/>
      <c r="E11" s="8">
        <v>100</v>
      </c>
      <c r="F11" s="11">
        <f>$B$2*$B$3+(($B$4+$B$5)/E11)</f>
        <v>16.056000000000001</v>
      </c>
    </row>
    <row r="12" spans="1:16" x14ac:dyDescent="0.25">
      <c r="E12" s="8">
        <v>120</v>
      </c>
      <c r="F12" s="11">
        <f>$B$2*$B$3+(($B$4+$B$5)/E12)</f>
        <v>13.771000000000001</v>
      </c>
    </row>
    <row r="13" spans="1:16" x14ac:dyDescent="0.25">
      <c r="E13" s="8">
        <v>140</v>
      </c>
      <c r="F13" s="11">
        <f>$B$2*$B$3+(($B$4+$B$5)/E13)</f>
        <v>12.138857142857143</v>
      </c>
    </row>
    <row r="14" spans="1:16" x14ac:dyDescent="0.25">
      <c r="E14" s="8">
        <v>160</v>
      </c>
      <c r="F14" s="11">
        <f>$B$2*$B$3+(($B$4+$B$5)/E14)</f>
        <v>10.91475</v>
      </c>
    </row>
    <row r="15" spans="1:16" x14ac:dyDescent="0.25">
      <c r="E15" s="8">
        <v>180</v>
      </c>
      <c r="F15" s="11">
        <f>$B$2*$B$3+(($B$4+$B$5)/E15)</f>
        <v>9.9626666666666654</v>
      </c>
    </row>
    <row r="16" spans="1:16" x14ac:dyDescent="0.25">
      <c r="E16" s="8">
        <v>200</v>
      </c>
      <c r="F16" s="11">
        <f>$B$2*$B$3+(($B$4+$B$5)/E16)</f>
        <v>9.2010000000000005</v>
      </c>
    </row>
    <row r="17" spans="5:6" x14ac:dyDescent="0.25">
      <c r="E17" s="8">
        <v>220</v>
      </c>
      <c r="F17" s="11">
        <f>$B$2*$B$3+(($B$4+$B$5)/E17)</f>
        <v>8.5778181818181807</v>
      </c>
    </row>
    <row r="18" spans="5:6" x14ac:dyDescent="0.25">
      <c r="E18" s="8">
        <v>240</v>
      </c>
      <c r="F18" s="11">
        <f>$B$2*$B$3+(($B$4+$B$5)/E18)</f>
        <v>8.0585000000000004</v>
      </c>
    </row>
    <row r="19" spans="5:6" x14ac:dyDescent="0.25">
      <c r="E19" s="8">
        <v>260</v>
      </c>
      <c r="F19" s="11">
        <f>$B$2*$B$3+(($B$4+$B$5)/E19)</f>
        <v>7.6190769230769231</v>
      </c>
    </row>
    <row r="20" spans="5:6" x14ac:dyDescent="0.25">
      <c r="E20" s="8">
        <v>280</v>
      </c>
      <c r="F20" s="11">
        <f>$B$2*$B$3+(($B$4+$B$5)/E20)</f>
        <v>7.2424285714285705</v>
      </c>
    </row>
    <row r="21" spans="5:6" x14ac:dyDescent="0.25">
      <c r="E21" s="8">
        <v>300</v>
      </c>
      <c r="F21" s="11">
        <f>$B$2*$B$3+(($B$4+$B$5)/E21)</f>
        <v>6.9160000000000004</v>
      </c>
    </row>
    <row r="22" spans="5:6" x14ac:dyDescent="0.25">
      <c r="E22" s="8">
        <v>320</v>
      </c>
      <c r="F22" s="11">
        <f>$B$2*$B$3+(($B$4+$B$5)/E22)</f>
        <v>6.630374999999999</v>
      </c>
    </row>
    <row r="23" spans="5:6" x14ac:dyDescent="0.25">
      <c r="E23" s="8">
        <v>340</v>
      </c>
      <c r="F23" s="11">
        <f>$B$2*$B$3+(($B$4+$B$5)/E23)</f>
        <v>6.3783529411764697</v>
      </c>
    </row>
    <row r="24" spans="5:6" x14ac:dyDescent="0.25">
      <c r="E24" s="8">
        <v>360</v>
      </c>
      <c r="F24" s="11">
        <f>$B$2*$B$3+(($B$4+$B$5)/E24)</f>
        <v>6.1543333333333328</v>
      </c>
    </row>
    <row r="25" spans="5:6" x14ac:dyDescent="0.25">
      <c r="E25" s="8">
        <v>380</v>
      </c>
      <c r="F25" s="11">
        <f>$B$2*$B$3+(($B$4+$B$5)/E25)</f>
        <v>5.9538947368421047</v>
      </c>
    </row>
    <row r="26" spans="5:6" x14ac:dyDescent="0.25">
      <c r="E26" s="8">
        <v>400</v>
      </c>
      <c r="F26" s="11">
        <f>$B$2*$B$3+(($B$4+$B$5)/E26)</f>
        <v>5.7735000000000003</v>
      </c>
    </row>
    <row r="27" spans="5:6" x14ac:dyDescent="0.25">
      <c r="E27" s="8">
        <v>420</v>
      </c>
      <c r="F27" s="11">
        <f>$B$2*$B$3+(($B$4+$B$5)/E27)</f>
        <v>5.6102857142857143</v>
      </c>
    </row>
    <row r="28" spans="5:6" x14ac:dyDescent="0.25">
      <c r="E28" s="8">
        <v>440</v>
      </c>
      <c r="F28" s="11">
        <f>$B$2*$B$3+(($B$4+$B$5)/E28)</f>
        <v>5.4619090909090904</v>
      </c>
    </row>
    <row r="29" spans="5:6" x14ac:dyDescent="0.25">
      <c r="E29" s="8">
        <v>460</v>
      </c>
      <c r="F29" s="11">
        <f>$B$2*$B$3+(($B$4+$B$5)/E29)</f>
        <v>5.3264347826086951</v>
      </c>
    </row>
    <row r="30" spans="5:6" x14ac:dyDescent="0.25">
      <c r="E30" s="8">
        <v>480</v>
      </c>
      <c r="F30" s="11">
        <f>$B$2*$B$3+(($B$4+$B$5)/E30)</f>
        <v>5.2022499999999994</v>
      </c>
    </row>
    <row r="31" spans="5:6" ht="15.75" thickBot="1" x14ac:dyDescent="0.3">
      <c r="E31" s="9">
        <v>500</v>
      </c>
      <c r="F31" s="23">
        <f>$B$2*$B$3+(($B$4+$B$5)/E31)</f>
        <v>5.0879999999999992</v>
      </c>
    </row>
  </sheetData>
  <mergeCells count="2">
    <mergeCell ref="A1:C1"/>
    <mergeCell ref="A7:C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VANDENELSKEN-ROBERT Eliot</dc:creator>
  <cp:lastModifiedBy>VANDENELSKEN-ROBERT Eliot</cp:lastModifiedBy>
  <dcterms:created xsi:type="dcterms:W3CDTF">2025-12-10T15:05:22Z</dcterms:created>
  <dcterms:modified xsi:type="dcterms:W3CDTF">2025-12-10T16:04:23Z</dcterms:modified>
</cp:coreProperties>
</file>